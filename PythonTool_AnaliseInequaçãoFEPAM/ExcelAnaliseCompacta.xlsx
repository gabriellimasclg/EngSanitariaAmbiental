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briel.coimbra\Desktop\CORSAN\Ijuí\EA\"/>
    </mc:Choice>
  </mc:AlternateContent>
  <bookViews>
    <workbookView xWindow="0" yWindow="0" windowWidth="21600" windowHeight="9780"/>
  </bookViews>
  <sheets>
    <sheet name="Inequação FEPA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6" i="1" l="1"/>
  <c r="D25" i="1"/>
  <c r="F34" i="1" l="1"/>
  <c r="E34" i="1"/>
  <c r="E25" i="1" l="1"/>
  <c r="F25" i="1"/>
  <c r="F15" i="1" l="1"/>
  <c r="E15" i="1"/>
  <c r="D15" i="1"/>
  <c r="H30" i="1"/>
  <c r="H22" i="1"/>
  <c r="H14" i="1"/>
  <c r="F42" i="1"/>
  <c r="F43" i="1"/>
  <c r="F44" i="1"/>
  <c r="F45" i="1"/>
  <c r="F46" i="1"/>
  <c r="D24" i="1" l="1"/>
  <c r="E24" i="1"/>
  <c r="F24" i="1"/>
  <c r="F18" i="1"/>
  <c r="L34" i="1" s="1"/>
  <c r="P35" i="1" s="1"/>
  <c r="F22" i="1"/>
  <c r="L36" i="1" s="1"/>
  <c r="Q35" i="1" s="1"/>
  <c r="F27" i="1"/>
  <c r="F28" i="1" s="1"/>
  <c r="F29" i="1" s="1"/>
  <c r="F10" i="1" s="1"/>
  <c r="E18" i="1"/>
  <c r="L26" i="1" s="1"/>
  <c r="P27" i="1" s="1"/>
  <c r="E22" i="1"/>
  <c r="L28" i="1" s="1"/>
  <c r="Q27" i="1" s="1"/>
  <c r="E27" i="1"/>
  <c r="J28" i="1" s="1"/>
  <c r="D22" i="1"/>
  <c r="L20" i="1" s="1"/>
  <c r="Q19" i="1" s="1"/>
  <c r="D18" i="1"/>
  <c r="L18" i="1" s="1"/>
  <c r="P19" i="1" s="1"/>
  <c r="E28" i="1" l="1"/>
  <c r="E29" i="1" s="1"/>
  <c r="E10" i="1" s="1"/>
  <c r="E23" i="1" s="1"/>
  <c r="J26" i="1"/>
  <c r="P25" i="1" s="1"/>
  <c r="F26" i="1"/>
  <c r="J33" i="1" s="1"/>
  <c r="P32" i="1" s="1"/>
  <c r="J36" i="1"/>
  <c r="E26" i="1"/>
  <c r="E30" i="1" s="1"/>
  <c r="J34" i="1"/>
  <c r="P33" i="1" s="1"/>
  <c r="F16" i="1"/>
  <c r="F20" i="1"/>
  <c r="F9" i="1"/>
  <c r="F19" i="1" s="1"/>
  <c r="F23" i="1"/>
  <c r="D27" i="1"/>
  <c r="E9" i="1" l="1"/>
  <c r="E19" i="1" s="1"/>
  <c r="E33" i="1"/>
  <c r="F30" i="1"/>
  <c r="F33" i="1" s="1"/>
  <c r="E20" i="1"/>
  <c r="E21" i="1" s="1"/>
  <c r="L27" i="1" s="1"/>
  <c r="Q26" i="1" s="1"/>
  <c r="J25" i="1"/>
  <c r="P24" i="1" s="1"/>
  <c r="E16" i="1"/>
  <c r="J27" i="1"/>
  <c r="J35" i="1"/>
  <c r="F17" i="1"/>
  <c r="L33" i="1" s="1"/>
  <c r="P34" i="1" s="1"/>
  <c r="K27" i="1"/>
  <c r="F21" i="1"/>
  <c r="L35" i="1" s="1"/>
  <c r="Q34" i="1" s="1"/>
  <c r="J20" i="1"/>
  <c r="J18" i="1"/>
  <c r="P17" i="1" s="1"/>
  <c r="D28" i="1"/>
  <c r="D29" i="1" s="1"/>
  <c r="D20" i="1" s="1"/>
  <c r="K25" i="1" l="1"/>
  <c r="F32" i="1"/>
  <c r="E17" i="1"/>
  <c r="L25" i="1" s="1"/>
  <c r="P26" i="1" s="1"/>
  <c r="E32" i="1"/>
  <c r="K35" i="1"/>
  <c r="K33" i="1"/>
  <c r="D16" i="1"/>
  <c r="D9" i="1"/>
  <c r="D19" i="1" s="1"/>
  <c r="D10" i="1"/>
  <c r="D23" i="1" s="1"/>
  <c r="D26" i="1"/>
  <c r="J17" i="1" l="1"/>
  <c r="J19" i="1"/>
  <c r="D30" i="1"/>
  <c r="D32" i="1" l="1"/>
  <c r="D33" i="1"/>
  <c r="D17" i="1"/>
  <c r="L17" i="1" s="1"/>
  <c r="P18" i="1" s="1"/>
  <c r="K19" i="1"/>
  <c r="D21" i="1"/>
  <c r="L19" i="1" s="1"/>
  <c r="Q18" i="1" s="1"/>
  <c r="D34" i="1" l="1"/>
  <c r="K17" i="1"/>
</calcChain>
</file>

<file path=xl/comments1.xml><?xml version="1.0" encoding="utf-8"?>
<comments xmlns="http://schemas.openxmlformats.org/spreadsheetml/2006/main">
  <authors>
    <author>GABRIEL LIMAS COIMBRA</author>
  </authors>
  <commentList>
    <comment ref="B6" authorId="0" shapeId="0">
      <text>
        <r>
          <rPr>
            <b/>
            <sz val="9"/>
            <color indexed="81"/>
            <rFont val="Segoe UI"/>
            <family val="2"/>
          </rPr>
          <t>GABRIEL LIMAS COIMBRA:</t>
        </r>
        <r>
          <rPr>
            <sz val="9"/>
            <color indexed="81"/>
            <rFont val="Segoe UI"/>
            <family val="2"/>
          </rPr>
          <t xml:space="preserve">
Caso ele não delimite automaticamente, definir via Qgis ou traçar manualmente</t>
        </r>
      </text>
    </comment>
  </commentList>
</comments>
</file>

<file path=xl/sharedStrings.xml><?xml version="1.0" encoding="utf-8"?>
<sst xmlns="http://schemas.openxmlformats.org/spreadsheetml/2006/main" count="121" uniqueCount="62">
  <si>
    <t>Parâmetro</t>
  </si>
  <si>
    <t>DBO</t>
  </si>
  <si>
    <t>Resolução CONSEMA nº 355/2017</t>
  </si>
  <si>
    <t>Concentração na classe (mg/L)</t>
  </si>
  <si>
    <t>[Padrão]/[Classe]</t>
  </si>
  <si>
    <t>Coliformes</t>
  </si>
  <si>
    <t>Corpo Hídrico</t>
  </si>
  <si>
    <t>Area da bacia do ponto (km²)</t>
  </si>
  <si>
    <t>Vazão Específica (m³/s.km²)</t>
  </si>
  <si>
    <t>NOTA TÉCNICA nº 004/2021/DIPLA/DRHS</t>
  </si>
  <si>
    <t>Efluente</t>
  </si>
  <si>
    <t>Qe (L/s)</t>
  </si>
  <si>
    <t>Qe(m³/d)</t>
  </si>
  <si>
    <t>Qchr/Qe</t>
  </si>
  <si>
    <t>-</t>
  </si>
  <si>
    <t>Parâmetro limitante</t>
  </si>
  <si>
    <t>Padrão de Emissão (NMP/100mL)</t>
  </si>
  <si>
    <t>Concentração na classe (NMP/100mL)</t>
  </si>
  <si>
    <t>Padrão de Emissão (mg/L)</t>
  </si>
  <si>
    <t>Vazão do ponto de lançamento Qchr (L/s)</t>
  </si>
  <si>
    <t>Coliformes Termotolerates</t>
  </si>
  <si>
    <t>Vazões (L/s)</t>
  </si>
  <si>
    <t>Qchr</t>
  </si>
  <si>
    <t>Qe</t>
  </si>
  <si>
    <t>Inequação</t>
  </si>
  <si>
    <t>Padrão de lançamento</t>
  </si>
  <si>
    <t>Classe do CHR</t>
  </si>
  <si>
    <t>Concentrações
(mg/L, NMP/100ml)</t>
  </si>
  <si>
    <t>Faixa de vazão do efluente (m³/d)</t>
  </si>
  <si>
    <t>Coliformes Termotolerantes</t>
  </si>
  <si>
    <t>NMP/ 100 mL</t>
  </si>
  <si>
    <t>Eficiência</t>
  </si>
  <si>
    <t xml:space="preserve"> 
(mg/L)</t>
  </si>
  <si>
    <t>Classe</t>
  </si>
  <si>
    <t>Faixa de Vazão</t>
  </si>
  <si>
    <t>Índice Procv</t>
  </si>
  <si>
    <t>DBO - Tratamento adotado (mg/L)</t>
  </si>
  <si>
    <t>eColi - Tratamento adotado (NMP/100mL)</t>
  </si>
  <si>
    <t xml:space="preserve">Se necessário, alterar padrões de DBO e Coliformes aqui --&gt; </t>
  </si>
  <si>
    <t>Padrão de Emissão ADOTADO(mg/L)</t>
  </si>
  <si>
    <t>Padrão de Emissão ADOTADO (NMP/100mL)</t>
  </si>
  <si>
    <t>Vazão (L/s)</t>
  </si>
  <si>
    <t>Concentração na Classe</t>
  </si>
  <si>
    <t>Padrão de Emissão</t>
  </si>
  <si>
    <t>Qe (sobrescrever)</t>
  </si>
  <si>
    <t>Qchr (sobrescrever)</t>
  </si>
  <si>
    <t>Atende a inequação para DBO</t>
  </si>
  <si>
    <t>Atende a inequação e eColi</t>
  </si>
  <si>
    <t>BASE DE DADOS ABAIXO</t>
  </si>
  <si>
    <t xml:space="preserve">Fonte: </t>
  </si>
  <si>
    <t>AUTOMÁTICO ABAIXO</t>
  </si>
  <si>
    <t>CONAMA 357/2005</t>
  </si>
  <si>
    <t>SEMA - Verificar bacia</t>
  </si>
  <si>
    <t>Site que calcula área a partir de Exutório</t>
  </si>
  <si>
    <t>*Classe 4 não possui padrões de DBO e Coliformes</t>
  </si>
  <si>
    <t>PREENCHER ABAIXO NO AZUL</t>
  </si>
  <si>
    <t>Fonte da Informação</t>
  </si>
  <si>
    <t>Estudo ou Adotar</t>
  </si>
  <si>
    <t>Vazão Específica se &lt; 10km²(m³/s.km²)</t>
  </si>
  <si>
    <t>Vazão Específica se &gt; 10km²(m³/s.km²)</t>
  </si>
  <si>
    <t>Identificar UPG em SIOUT RS</t>
  </si>
  <si>
    <t>Lançamento Existente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</si>
</sst>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6" borderId="1" xfId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2" fontId="11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0" fillId="6" borderId="1" xfId="1" applyFont="1" applyFill="1" applyBorder="1" applyAlignment="1">
      <alignment horizontal="center" vertical="center"/>
    </xf>
    <xf numFmtId="0" fontId="4" fillId="0" borderId="0" xfId="2" applyFill="1" applyBorder="1" applyAlignment="1">
      <alignment horizontal="center" vertical="center"/>
    </xf>
    <xf numFmtId="2" fontId="0" fillId="0" borderId="0" xfId="0" applyNumberFormat="1" applyFill="1" applyBorder="1" applyAlignment="1">
      <alignment vertical="center"/>
    </xf>
    <xf numFmtId="0" fontId="0" fillId="5" borderId="1" xfId="0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right" vertical="center"/>
    </xf>
    <xf numFmtId="0" fontId="10" fillId="0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4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2" fontId="14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3" fontId="9" fillId="8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2" applyFill="1" applyBorder="1" applyAlignment="1">
      <alignment horizontal="left"/>
    </xf>
    <xf numFmtId="0" fontId="12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2" fillId="5" borderId="1" xfId="0" applyFont="1" applyFill="1" applyBorder="1"/>
    <xf numFmtId="0" fontId="5" fillId="5" borderId="1" xfId="3" applyFill="1" applyBorder="1" applyAlignment="1">
      <alignment horizontal="center"/>
    </xf>
    <xf numFmtId="165" fontId="12" fillId="5" borderId="1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5" fillId="0" borderId="0" xfId="3"/>
    <xf numFmtId="0" fontId="2" fillId="5" borderId="1" xfId="0" applyFont="1" applyFill="1" applyBorder="1"/>
    <xf numFmtId="0" fontId="15" fillId="0" borderId="0" xfId="0" applyFont="1" applyFill="1" applyAlignment="1">
      <alignment horizontal="center"/>
    </xf>
    <xf numFmtId="0" fontId="0" fillId="0" borderId="0" xfId="0" applyFill="1"/>
    <xf numFmtId="0" fontId="10" fillId="0" borderId="1" xfId="0" applyFont="1" applyBorder="1" applyAlignment="1">
      <alignment vertical="center" wrapText="1"/>
    </xf>
    <xf numFmtId="9" fontId="10" fillId="0" borderId="1" xfId="0" applyNumberFormat="1" applyFont="1" applyBorder="1" applyAlignment="1">
      <alignment horizontal="center" vertical="center" wrapText="1"/>
    </xf>
    <xf numFmtId="9" fontId="10" fillId="0" borderId="1" xfId="4" applyFont="1" applyBorder="1" applyAlignment="1">
      <alignment horizontal="center" vertical="center" wrapText="1"/>
    </xf>
    <xf numFmtId="0" fontId="2" fillId="5" borderId="6" xfId="0" applyFont="1" applyFill="1" applyBorder="1"/>
    <xf numFmtId="0" fontId="5" fillId="5" borderId="2" xfId="3" applyFill="1" applyBorder="1" applyAlignment="1">
      <alignment horizontal="center" vertical="center"/>
    </xf>
    <xf numFmtId="0" fontId="4" fillId="5" borderId="2" xfId="2" applyFill="1" applyBorder="1" applyAlignment="1">
      <alignment horizontal="center"/>
    </xf>
    <xf numFmtId="0" fontId="5" fillId="5" borderId="4" xfId="3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2" fontId="0" fillId="5" borderId="1" xfId="0" applyNumberFormat="1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2" fontId="0" fillId="0" borderId="2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2" borderId="2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5" fillId="11" borderId="0" xfId="0" applyFont="1" applyFill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</cellXfs>
  <cellStyles count="5">
    <cellStyle name="Hiperlink" xfId="3" builtinId="8"/>
    <cellStyle name="Hiperlink 2" xfId="2"/>
    <cellStyle name="Normal" xfId="0" builtinId="0"/>
    <cellStyle name="Normal 3" xfId="1"/>
    <cellStyle name="Porcentagem" xfId="4" builtinId="5"/>
  </cellStyles>
  <dxfs count="10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29</xdr:row>
      <xdr:rowOff>33337</xdr:rowOff>
    </xdr:from>
    <xdr:ext cx="1880130" cy="3341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/>
            <xdr:cNvSpPr txBox="1"/>
          </xdr:nvSpPr>
          <xdr:spPr>
            <a:xfrm>
              <a:off x="114300" y="2700337"/>
              <a:ext cx="188013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pt-BR" sz="105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pt-BR" sz="105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050" b="0" i="1">
                                <a:latin typeface="Cambria Math" panose="02040503050406030204" pitchFamily="18" charset="0"/>
                              </a:rPr>
                              <m:t>𝑄</m:t>
                            </m:r>
                          </m:e>
                          <m:sub>
                            <m:r>
                              <a:rPr lang="pt-BR" sz="1050" b="0" i="1">
                                <a:latin typeface="Cambria Math" panose="02040503050406030204" pitchFamily="18" charset="0"/>
                              </a:rPr>
                              <m:t>𝑐h𝑟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pt-BR" sz="105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1050" b="0" i="1">
                                <a:latin typeface="Cambria Math" panose="02040503050406030204" pitchFamily="18" charset="0"/>
                              </a:rPr>
                              <m:t>𝑄</m:t>
                            </m:r>
                          </m:e>
                          <m:sub>
                            <m:r>
                              <a:rPr lang="pt-BR" sz="105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sub>
                        </m:sSub>
                      </m:den>
                    </m:f>
                    <m:r>
                      <a:rPr lang="pt-BR" sz="105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f>
                      <m:fPr>
                        <m:ctrlPr>
                          <a:rPr lang="pt-BR" sz="105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05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𝑃𝑎𝑑𝑟</m:t>
                        </m:r>
                        <m:r>
                          <a:rPr lang="pt-BR" sz="105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ã</m:t>
                        </m:r>
                        <m:r>
                          <a:rPr lang="pt-BR" sz="105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𝑜</m:t>
                        </m:r>
                        <m:r>
                          <a:rPr lang="pt-BR" sz="105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pt-BR" sz="105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𝑑𝑒</m:t>
                        </m:r>
                        <m:r>
                          <a:rPr lang="pt-BR" sz="105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pt-BR" sz="105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𝑒𝑚𝑖𝑠𝑠</m:t>
                        </m:r>
                        <m:r>
                          <a:rPr lang="pt-BR" sz="105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ã</m:t>
                        </m:r>
                        <m:r>
                          <a:rPr lang="pt-BR" sz="105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𝑜</m:t>
                        </m:r>
                      </m:num>
                      <m:den>
                        <m:r>
                          <a:rPr lang="pt-BR" sz="105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𝐶𝑜𝑛𝑐𝑒𝑛𝑡𝑟𝑎</m:t>
                        </m:r>
                        <m:r>
                          <a:rPr lang="pt-BR" sz="105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çã</m:t>
                        </m:r>
                        <m:r>
                          <a:rPr lang="pt-BR" sz="105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𝑜</m:t>
                        </m:r>
                        <m:r>
                          <a:rPr lang="pt-BR" sz="105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pt-BR" sz="105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𝑛𝑎</m:t>
                        </m:r>
                        <m:r>
                          <a:rPr lang="pt-BR" sz="105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pt-BR" sz="105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𝑐𝑙𝑎𝑠𝑠𝑒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" name="CaixaDeTexto 2"/>
            <xdr:cNvSpPr txBox="1"/>
          </xdr:nvSpPr>
          <xdr:spPr>
            <a:xfrm>
              <a:off x="114300" y="2700337"/>
              <a:ext cx="1880130" cy="3341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050" b="0" i="0">
                  <a:latin typeface="Cambria Math" panose="02040503050406030204" pitchFamily="18" charset="0"/>
                </a:rPr>
                <a:t>𝑄_𝑐ℎ𝑟/𝑄_𝑒 </a:t>
              </a:r>
              <a:r>
                <a:rPr lang="pt-BR" sz="105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≥(</a:t>
              </a:r>
              <a:r>
                <a:rPr lang="pt-BR" sz="105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𝑃𝑎𝑑𝑟ã𝑜 𝑑𝑒 𝑒𝑚𝑖𝑠𝑠ã</a:t>
              </a:r>
              <a:r>
                <a:rPr lang="pt-BR" sz="105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𝑜</a:t>
              </a:r>
              <a:r>
                <a:rPr lang="pt-BR" sz="105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)/(</a:t>
              </a:r>
              <a:r>
                <a:rPr lang="pt-BR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𝐶𝑜𝑛𝑐𝑒𝑛𝑡𝑟𝑎çã𝑜 𝑛𝑎 𝑐𝑙𝑎𝑠𝑠𝑒)</a:t>
              </a:r>
              <a:endParaRPr lang="pt-BR" sz="1100"/>
            </a:p>
          </xdr:txBody>
        </xdr:sp>
      </mc:Fallback>
    </mc:AlternateContent>
    <xdr:clientData/>
  </xdr:oneCellAnchor>
  <xdr:twoCellAnchor>
    <xdr:from>
      <xdr:col>4</xdr:col>
      <xdr:colOff>228600</xdr:colOff>
      <xdr:row>38</xdr:row>
      <xdr:rowOff>0</xdr:rowOff>
    </xdr:from>
    <xdr:to>
      <xdr:col>4</xdr:col>
      <xdr:colOff>590550</xdr:colOff>
      <xdr:row>39</xdr:row>
      <xdr:rowOff>95250</xdr:rowOff>
    </xdr:to>
    <xdr:pic>
      <xdr:nvPicPr>
        <xdr:cNvPr id="7" name="Imagem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7467600"/>
          <a:ext cx="36195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sema.rs.gov.br/bacias-hidrografica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sema.rs.gov.br/upload/arquivos/202110/19173633-nt-dipla-2021-004-disponibilidade-hidrica.pdf" TargetMode="External"/><Relationship Id="rId1" Type="http://schemas.openxmlformats.org/officeDocument/2006/relationships/hyperlink" Target="https://www.sema.rs.gov.br/upload/arquivos/201707/19110149-355-2017-criterios-e-padroes-de-emissao-de-efluentes-liquidos.pdf?utm_source=chatgpt.com" TargetMode="External"/><Relationship Id="rId6" Type="http://schemas.openxmlformats.org/officeDocument/2006/relationships/hyperlink" Target="http://www.siout.rs.gov.br/sig/" TargetMode="External"/><Relationship Id="rId5" Type="http://schemas.openxmlformats.org/officeDocument/2006/relationships/hyperlink" Target="https://conama.mma.gov.br/?option=com_sisconama&amp;task=arquivo.download&amp;id=450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mghydro.com/watersheds/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3"/>
  <sheetViews>
    <sheetView tabSelected="1" topLeftCell="D7" zoomScaleNormal="100" workbookViewId="0">
      <selection activeCell="D23" sqref="D23"/>
    </sheetView>
  </sheetViews>
  <sheetFormatPr defaultRowHeight="15" x14ac:dyDescent="0.25"/>
  <cols>
    <col min="1" max="1" width="11.7109375" hidden="1" customWidth="1"/>
    <col min="2" max="2" width="46.42578125" bestFit="1" customWidth="1"/>
    <col min="3" max="3" width="41.28515625" bestFit="1" customWidth="1"/>
    <col min="4" max="4" width="20.7109375" bestFit="1" customWidth="1"/>
    <col min="5" max="5" width="14.5703125" bestFit="1" customWidth="1"/>
    <col min="6" max="6" width="16.7109375" bestFit="1" customWidth="1"/>
    <col min="7" max="7" width="14.5703125" customWidth="1"/>
    <col min="8" max="8" width="23" bestFit="1" customWidth="1"/>
    <col min="9" max="9" width="5" bestFit="1" customWidth="1"/>
    <col min="10" max="10" width="9.140625" customWidth="1"/>
    <col min="11" max="11" width="14" bestFit="1" customWidth="1"/>
    <col min="12" max="12" width="6.140625" bestFit="1" customWidth="1"/>
    <col min="13" max="13" width="19.85546875" bestFit="1" customWidth="1"/>
    <col min="15" max="15" width="23.28515625" bestFit="1" customWidth="1"/>
    <col min="16" max="16" width="12.5703125" customWidth="1"/>
    <col min="17" max="17" width="19.28515625" customWidth="1"/>
  </cols>
  <sheetData>
    <row r="1" spans="1:17" ht="26.25" x14ac:dyDescent="0.4">
      <c r="B1" s="64" t="s">
        <v>55</v>
      </c>
      <c r="C1" s="64"/>
      <c r="D1" s="64"/>
      <c r="E1" s="64"/>
      <c r="F1" s="64"/>
    </row>
    <row r="3" spans="1:17" ht="28.5" customHeight="1" x14ac:dyDescent="0.25">
      <c r="B3" s="39" t="s">
        <v>56</v>
      </c>
      <c r="C3" s="39" t="s">
        <v>0</v>
      </c>
      <c r="D3" s="38" t="s">
        <v>61</v>
      </c>
      <c r="E3" s="38"/>
      <c r="F3" s="38"/>
    </row>
    <row r="4" spans="1:17" ht="15" customHeight="1" x14ac:dyDescent="0.25">
      <c r="B4" s="43" t="s">
        <v>57</v>
      </c>
      <c r="C4" s="45" t="s">
        <v>41</v>
      </c>
      <c r="D4" s="40">
        <v>155</v>
      </c>
      <c r="E4" s="40">
        <v>20</v>
      </c>
      <c r="F4" s="40">
        <v>20</v>
      </c>
    </row>
    <row r="5" spans="1:17" ht="15" customHeight="1" x14ac:dyDescent="0.25">
      <c r="B5" s="41" t="s">
        <v>52</v>
      </c>
      <c r="C5" s="45" t="s">
        <v>33</v>
      </c>
      <c r="D5" s="40">
        <v>2</v>
      </c>
      <c r="E5" s="40">
        <v>1</v>
      </c>
      <c r="F5" s="40">
        <v>1</v>
      </c>
      <c r="H5" s="15"/>
      <c r="I5" s="15"/>
      <c r="J5" s="15"/>
      <c r="K5" s="15"/>
      <c r="L5" s="15"/>
      <c r="M5" s="15"/>
      <c r="N5" s="15"/>
    </row>
    <row r="6" spans="1:17" ht="15" customHeight="1" x14ac:dyDescent="0.25">
      <c r="B6" s="52" t="s">
        <v>53</v>
      </c>
      <c r="C6" s="45" t="s">
        <v>7</v>
      </c>
      <c r="D6" s="42">
        <v>633.79999999999995</v>
      </c>
      <c r="E6" s="42">
        <v>5</v>
      </c>
      <c r="F6" s="42">
        <v>2400</v>
      </c>
      <c r="H6" s="15"/>
      <c r="I6" s="15"/>
      <c r="J6" s="15"/>
      <c r="K6" s="15"/>
      <c r="L6" s="15"/>
      <c r="M6" s="15"/>
      <c r="N6" s="15"/>
    </row>
    <row r="7" spans="1:17" ht="15" customHeight="1" x14ac:dyDescent="0.25">
      <c r="B7" s="53" t="s">
        <v>9</v>
      </c>
      <c r="C7" s="51" t="s">
        <v>58</v>
      </c>
      <c r="D7" s="40">
        <v>4.0400000000000002E-3</v>
      </c>
      <c r="E7" s="40">
        <v>2E-3</v>
      </c>
      <c r="F7" s="40">
        <v>2E-3</v>
      </c>
      <c r="H7" s="15"/>
      <c r="I7" s="15"/>
      <c r="J7" s="15"/>
      <c r="K7" s="15"/>
      <c r="L7" s="15"/>
      <c r="M7" s="15"/>
      <c r="N7" s="15"/>
    </row>
    <row r="8" spans="1:17" ht="15" customHeight="1" x14ac:dyDescent="0.25">
      <c r="B8" s="54" t="s">
        <v>60</v>
      </c>
      <c r="C8" s="51" t="s">
        <v>59</v>
      </c>
      <c r="D8" s="40">
        <v>7.4000000000000003E-3</v>
      </c>
      <c r="E8" s="40">
        <v>1E-3</v>
      </c>
      <c r="F8" s="40">
        <v>1E-3</v>
      </c>
      <c r="H8" s="15"/>
      <c r="I8" s="15"/>
      <c r="J8" s="15"/>
      <c r="K8" s="15"/>
      <c r="L8" s="15"/>
      <c r="M8" s="15"/>
      <c r="N8" s="15"/>
    </row>
    <row r="9" spans="1:17" ht="15" customHeight="1" x14ac:dyDescent="0.25">
      <c r="B9" s="89" t="s">
        <v>38</v>
      </c>
      <c r="C9" s="18" t="s">
        <v>36</v>
      </c>
      <c r="D9" s="19">
        <f>VLOOKUP(D29,'Inequação FEPAM'!$B$41:$G$46,$A$16,FALSE)</f>
        <v>40</v>
      </c>
      <c r="E9" s="19">
        <f>VLOOKUP(E29,'Inequação FEPAM'!$B$41:$G$46,$A$16,FALSE)</f>
        <v>70</v>
      </c>
      <c r="F9" s="19">
        <f>VLOOKUP(F29,'Inequação FEPAM'!$B$41:$G$46,$A$16,FALSE)</f>
        <v>70</v>
      </c>
      <c r="H9" s="15"/>
      <c r="I9" s="15"/>
      <c r="J9" s="15"/>
      <c r="K9" s="15"/>
      <c r="L9" s="15"/>
      <c r="M9" s="15"/>
      <c r="N9" s="15"/>
    </row>
    <row r="10" spans="1:17" ht="15" customHeight="1" x14ac:dyDescent="0.25">
      <c r="B10" s="90"/>
      <c r="C10" s="18" t="s">
        <v>37</v>
      </c>
      <c r="D10" s="34">
        <f>VLOOKUP(D29,'Inequação FEPAM'!$B$41:$G$46,$A$22,FALSE)</f>
        <v>1000</v>
      </c>
      <c r="E10" s="34">
        <f>VLOOKUP(E29,'Inequação FEPAM'!$B$41:$G$46,$A$22,FALSE)</f>
        <v>100000</v>
      </c>
      <c r="F10" s="34">
        <f>VLOOKUP(F29,'Inequação FEPAM'!$B$41:$G$46,$A$22,FALSE)</f>
        <v>100000</v>
      </c>
      <c r="H10" s="15"/>
      <c r="I10" s="15"/>
      <c r="J10" s="15"/>
      <c r="K10" s="15"/>
      <c r="L10" s="15"/>
      <c r="M10" s="15"/>
      <c r="N10" s="15"/>
    </row>
    <row r="11" spans="1:17" x14ac:dyDescent="0.25">
      <c r="H11" s="15"/>
      <c r="I11" s="15"/>
    </row>
    <row r="12" spans="1:17" ht="26.25" x14ac:dyDescent="0.4">
      <c r="B12" s="64" t="s">
        <v>50</v>
      </c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</row>
    <row r="13" spans="1:17" s="47" customFormat="1" ht="14.25" customHeight="1" x14ac:dyDescent="0.4"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</row>
    <row r="14" spans="1:17" x14ac:dyDescent="0.25">
      <c r="H14" t="str">
        <f>D3</f>
        <v>Lançamento Existente</v>
      </c>
    </row>
    <row r="15" spans="1:17" x14ac:dyDescent="0.25">
      <c r="A15" s="12" t="s">
        <v>35</v>
      </c>
      <c r="B15" s="88" t="s">
        <v>0</v>
      </c>
      <c r="C15" s="88"/>
      <c r="D15" s="1" t="str">
        <f>D3</f>
        <v>Lançamento Existente</v>
      </c>
      <c r="E15" s="1">
        <f>E3</f>
        <v>0</v>
      </c>
      <c r="F15" s="1">
        <f>F3</f>
        <v>0</v>
      </c>
      <c r="H15" s="67" t="s">
        <v>0</v>
      </c>
      <c r="I15" s="67" t="s">
        <v>21</v>
      </c>
      <c r="J15" s="67"/>
      <c r="K15" s="67" t="s">
        <v>24</v>
      </c>
      <c r="L15" s="70" t="s">
        <v>27</v>
      </c>
      <c r="M15" s="70"/>
      <c r="O15" s="30" t="s">
        <v>0</v>
      </c>
      <c r="P15" s="30" t="s">
        <v>1</v>
      </c>
      <c r="Q15" s="30" t="s">
        <v>5</v>
      </c>
    </row>
    <row r="16" spans="1:17" x14ac:dyDescent="0.25">
      <c r="A16" s="12">
        <v>4</v>
      </c>
      <c r="B16" s="85" t="s">
        <v>1</v>
      </c>
      <c r="C16" s="2" t="s">
        <v>18</v>
      </c>
      <c r="D16" s="10">
        <f>VLOOKUP(D29,'Inequação FEPAM'!$B$41:$G$46,$A$16,FALSE)</f>
        <v>40</v>
      </c>
      <c r="E16" s="10">
        <f>VLOOKUP(E29,'Inequação FEPAM'!$B$41:$G$46,$A$16,FALSE)</f>
        <v>70</v>
      </c>
      <c r="F16" s="10">
        <f>VLOOKUP(F29,'Inequação FEPAM'!$B$41:$G$46,$A$16,FALSE)</f>
        <v>70</v>
      </c>
      <c r="H16" s="67"/>
      <c r="I16" s="67"/>
      <c r="J16" s="67"/>
      <c r="K16" s="67"/>
      <c r="L16" s="70"/>
      <c r="M16" s="70"/>
      <c r="O16" s="32" t="s">
        <v>45</v>
      </c>
      <c r="P16" s="63" t="str">
        <f>J17&amp;" L/s"</f>
        <v>4690,12 L/s</v>
      </c>
      <c r="Q16" s="63"/>
    </row>
    <row r="17" spans="1:17" x14ac:dyDescent="0.25">
      <c r="A17" s="12"/>
      <c r="B17" s="86"/>
      <c r="C17" s="2" t="s">
        <v>39</v>
      </c>
      <c r="D17" s="8">
        <f>MIN(D16,D9)</f>
        <v>40</v>
      </c>
      <c r="E17" s="8">
        <f>MIN(E16,E9)</f>
        <v>70</v>
      </c>
      <c r="F17" s="8">
        <f>MIN(F16,F9)</f>
        <v>70</v>
      </c>
      <c r="H17" s="68" t="s">
        <v>1</v>
      </c>
      <c r="I17" s="27" t="s">
        <v>22</v>
      </c>
      <c r="J17" s="28">
        <f>$D$26</f>
        <v>4690.12</v>
      </c>
      <c r="K17" s="65" t="str">
        <f>CONCATENATE(ROUND($D$30,2),IF($D$30&gt;$D$19," &gt; ", " &lt; "),$D$19)</f>
        <v>30,26 &gt; 8</v>
      </c>
      <c r="L17" s="27">
        <f>D17</f>
        <v>40</v>
      </c>
      <c r="M17" s="27" t="s">
        <v>25</v>
      </c>
      <c r="O17" s="32" t="s">
        <v>44</v>
      </c>
      <c r="P17" s="63" t="str">
        <f>J18&amp;" L/s"</f>
        <v>155 L/s</v>
      </c>
      <c r="Q17" s="63"/>
    </row>
    <row r="18" spans="1:17" ht="15" customHeight="1" x14ac:dyDescent="0.25">
      <c r="A18" s="12"/>
      <c r="B18" s="86"/>
      <c r="C18" s="2" t="s">
        <v>3</v>
      </c>
      <c r="D18" s="8">
        <f>VLOOKUP('Inequação FEPAM'!D5,'Inequação FEPAM'!$B$50:$D$52,$A$19,FALSE)</f>
        <v>5</v>
      </c>
      <c r="E18" s="8">
        <f>VLOOKUP('Inequação FEPAM'!E5,'Inequação FEPAM'!$B$50:$D$52,$A$19,FALSE)</f>
        <v>3</v>
      </c>
      <c r="F18" s="8">
        <f>VLOOKUP('Inequação FEPAM'!F5,'Inequação FEPAM'!$B$50:$D$52,$A$19,FALSE)</f>
        <v>3</v>
      </c>
      <c r="H18" s="69"/>
      <c r="I18" s="27" t="s">
        <v>23</v>
      </c>
      <c r="J18" s="29">
        <f>$D$27</f>
        <v>155</v>
      </c>
      <c r="K18" s="66"/>
      <c r="L18" s="27">
        <f>$D$18</f>
        <v>5</v>
      </c>
      <c r="M18" s="27" t="s">
        <v>26</v>
      </c>
      <c r="O18" s="32" t="s">
        <v>43</v>
      </c>
      <c r="P18" s="31" t="str">
        <f>L17&amp;" mg/L"</f>
        <v>40 mg/L</v>
      </c>
      <c r="Q18" s="31" t="str">
        <f>L19&amp;" NPM/100mL"</f>
        <v>1000 NPM/100mL</v>
      </c>
    </row>
    <row r="19" spans="1:17" x14ac:dyDescent="0.25">
      <c r="A19" s="12">
        <v>2</v>
      </c>
      <c r="B19" s="87"/>
      <c r="C19" s="2" t="s">
        <v>4</v>
      </c>
      <c r="D19" s="8">
        <f>ROUND(D9/D18,2)</f>
        <v>8</v>
      </c>
      <c r="E19" s="8">
        <f>ROUND(E9/E18,2)</f>
        <v>23.33</v>
      </c>
      <c r="F19" s="8">
        <f>ROUND(F9/F18,2)</f>
        <v>23.33</v>
      </c>
      <c r="H19" s="63" t="s">
        <v>20</v>
      </c>
      <c r="I19" s="27" t="s">
        <v>22</v>
      </c>
      <c r="J19" s="28">
        <f>$D$26</f>
        <v>4690.12</v>
      </c>
      <c r="K19" s="65" t="str">
        <f>CONCATENATE(ROUND($D$30,2),IF($D$30&gt;$D$23," &gt; ", " &lt; "),$D$23)</f>
        <v>30,26 &gt; 1</v>
      </c>
      <c r="L19" s="27">
        <f>D21</f>
        <v>1000</v>
      </c>
      <c r="M19" s="27" t="s">
        <v>25</v>
      </c>
      <c r="O19" s="32" t="s">
        <v>42</v>
      </c>
      <c r="P19" s="31" t="str">
        <f>L18&amp;" mg/L"</f>
        <v>5 mg/L</v>
      </c>
      <c r="Q19" s="31" t="str">
        <f>L20&amp;" NPM/100mL"</f>
        <v>1000 NPM/100mL</v>
      </c>
    </row>
    <row r="20" spans="1:17" x14ac:dyDescent="0.25">
      <c r="A20" s="12"/>
      <c r="B20" s="82" t="s">
        <v>5</v>
      </c>
      <c r="C20" s="3" t="s">
        <v>16</v>
      </c>
      <c r="D20" s="13">
        <f>VLOOKUP(D29,'Inequação FEPAM'!$B$41:$G$46,$A$22,FALSE)</f>
        <v>1000</v>
      </c>
      <c r="E20" s="13">
        <f>VLOOKUP(E29,'Inequação FEPAM'!$B$41:$G$46,$A$22,FALSE)</f>
        <v>100000</v>
      </c>
      <c r="F20" s="13">
        <f>VLOOKUP(F29,'Inequação FEPAM'!$B$41:$G$46,$A$22,FALSE)</f>
        <v>100000</v>
      </c>
      <c r="H20" s="63"/>
      <c r="I20" s="27" t="s">
        <v>23</v>
      </c>
      <c r="J20" s="29">
        <f>$D$27</f>
        <v>155</v>
      </c>
      <c r="K20" s="66"/>
      <c r="L20" s="27">
        <f>$D$22</f>
        <v>1000</v>
      </c>
      <c r="M20" s="27" t="s">
        <v>26</v>
      </c>
      <c r="O20" s="26"/>
    </row>
    <row r="21" spans="1:17" x14ac:dyDescent="0.25">
      <c r="A21" s="12"/>
      <c r="B21" s="83"/>
      <c r="C21" s="3" t="s">
        <v>40</v>
      </c>
      <c r="D21" s="13">
        <f>MIN(D20,D10)</f>
        <v>1000</v>
      </c>
      <c r="E21" s="13">
        <f>MIN(E20,E10)</f>
        <v>100000</v>
      </c>
      <c r="F21" s="13">
        <f>MIN(F20,F10)</f>
        <v>100000</v>
      </c>
      <c r="H21" s="23"/>
      <c r="I21" s="24"/>
      <c r="J21" s="25"/>
      <c r="L21" s="24"/>
      <c r="M21" s="24"/>
    </row>
    <row r="22" spans="1:17" x14ac:dyDescent="0.25">
      <c r="A22" s="12">
        <v>5</v>
      </c>
      <c r="B22" s="83"/>
      <c r="C22" s="3" t="s">
        <v>17</v>
      </c>
      <c r="D22" s="13">
        <f>VLOOKUP('Inequação FEPAM'!D5,'Inequação FEPAM'!$B$50:$D$52,$A$24,FALSE)</f>
        <v>1000</v>
      </c>
      <c r="E22" s="13">
        <f>VLOOKUP('Inequação FEPAM'!E5,'Inequação FEPAM'!$B$50:$D$52,$A$24,FALSE)</f>
        <v>200</v>
      </c>
      <c r="F22" s="13">
        <f>VLOOKUP('Inequação FEPAM'!F5,'Inequação FEPAM'!$B$50:$D$52,$A$24,FALSE)</f>
        <v>200</v>
      </c>
      <c r="H22">
        <f>E3</f>
        <v>0</v>
      </c>
    </row>
    <row r="23" spans="1:17" x14ac:dyDescent="0.25">
      <c r="A23" s="12"/>
      <c r="B23" s="84"/>
      <c r="C23" s="3" t="s">
        <v>4</v>
      </c>
      <c r="D23" s="4">
        <f>ROUND(D10/D22,2)</f>
        <v>1</v>
      </c>
      <c r="E23" s="4">
        <f>ROUND(E10/E22,2)</f>
        <v>500</v>
      </c>
      <c r="F23" s="4">
        <f>ROUND(F10/F22,2)</f>
        <v>500</v>
      </c>
      <c r="H23" s="67" t="s">
        <v>0</v>
      </c>
      <c r="I23" s="67" t="s">
        <v>21</v>
      </c>
      <c r="J23" s="67"/>
      <c r="K23" s="67" t="s">
        <v>24</v>
      </c>
      <c r="L23" s="70" t="s">
        <v>27</v>
      </c>
      <c r="M23" s="70"/>
      <c r="O23" s="30" t="s">
        <v>0</v>
      </c>
      <c r="P23" s="30" t="s">
        <v>1</v>
      </c>
      <c r="Q23" s="30" t="s">
        <v>5</v>
      </c>
    </row>
    <row r="24" spans="1:17" x14ac:dyDescent="0.25">
      <c r="A24" s="12">
        <v>3</v>
      </c>
      <c r="B24" s="73" t="s">
        <v>6</v>
      </c>
      <c r="C24" s="5" t="s">
        <v>7</v>
      </c>
      <c r="D24" s="56">
        <f>D6</f>
        <v>633.79999999999995</v>
      </c>
      <c r="E24" s="56">
        <f>E6</f>
        <v>5</v>
      </c>
      <c r="F24" s="56">
        <f>F6</f>
        <v>2400</v>
      </c>
      <c r="H24" s="67"/>
      <c r="I24" s="67"/>
      <c r="J24" s="67"/>
      <c r="K24" s="67"/>
      <c r="L24" s="70"/>
      <c r="M24" s="70"/>
      <c r="O24" s="32" t="s">
        <v>45</v>
      </c>
      <c r="P24" s="63" t="str">
        <f>J25&amp;" L/s"</f>
        <v>5 L/s</v>
      </c>
      <c r="Q24" s="63"/>
    </row>
    <row r="25" spans="1:17" x14ac:dyDescent="0.25">
      <c r="A25" s="12"/>
      <c r="B25" s="74"/>
      <c r="C25" s="5" t="s">
        <v>8</v>
      </c>
      <c r="D25" s="17">
        <f>IF(D24&lt;10,D7,D8)</f>
        <v>7.4000000000000003E-3</v>
      </c>
      <c r="E25" s="17">
        <f t="shared" ref="E25:F25" si="0">IF(E24&lt;10,E8,E7)</f>
        <v>1E-3</v>
      </c>
      <c r="F25" s="17">
        <f t="shared" si="0"/>
        <v>2E-3</v>
      </c>
      <c r="H25" s="68" t="s">
        <v>1</v>
      </c>
      <c r="I25" s="27" t="s">
        <v>22</v>
      </c>
      <c r="J25" s="28">
        <f>$E$26</f>
        <v>5</v>
      </c>
      <c r="K25" s="65" t="str">
        <f>CONCATENATE(ROUND($E$30,2),IF($E$30&gt;$E$19," &gt; ", " &lt; "),$E$19)</f>
        <v>0,25 &lt; 23,33</v>
      </c>
      <c r="L25" s="27">
        <f>$E$17</f>
        <v>70</v>
      </c>
      <c r="M25" s="27" t="s">
        <v>25</v>
      </c>
      <c r="O25" s="32" t="s">
        <v>44</v>
      </c>
      <c r="P25" s="63" t="str">
        <f>J26&amp;" L/s"</f>
        <v>20 L/s</v>
      </c>
      <c r="Q25" s="63"/>
    </row>
    <row r="26" spans="1:17" x14ac:dyDescent="0.25">
      <c r="A26" s="12"/>
      <c r="B26" s="75"/>
      <c r="C26" s="9" t="s">
        <v>19</v>
      </c>
      <c r="D26" s="57">
        <f>D24*D25*1000</f>
        <v>4690.12</v>
      </c>
      <c r="E26" s="57">
        <f>E24*E25*1000</f>
        <v>5</v>
      </c>
      <c r="F26" s="57">
        <f>F24*F25*1000</f>
        <v>4800</v>
      </c>
      <c r="H26" s="69"/>
      <c r="I26" s="27" t="s">
        <v>23</v>
      </c>
      <c r="J26" s="29">
        <f>$E$27</f>
        <v>20</v>
      </c>
      <c r="K26" s="66"/>
      <c r="L26" s="27">
        <f>$E$18</f>
        <v>3</v>
      </c>
      <c r="M26" s="27" t="s">
        <v>26</v>
      </c>
      <c r="O26" s="32" t="s">
        <v>43</v>
      </c>
      <c r="P26" s="33" t="str">
        <f>L25&amp;" mg/L"</f>
        <v>70 mg/L</v>
      </c>
      <c r="Q26" s="33" t="str">
        <f>L27&amp;" NPM/100mL"</f>
        <v>100000 NPM/100mL</v>
      </c>
    </row>
    <row r="27" spans="1:17" x14ac:dyDescent="0.25">
      <c r="A27" s="12"/>
      <c r="B27" s="79" t="s">
        <v>10</v>
      </c>
      <c r="C27" s="6" t="s">
        <v>11</v>
      </c>
      <c r="D27" s="11">
        <f>D4</f>
        <v>155</v>
      </c>
      <c r="E27" s="11">
        <f>E4</f>
        <v>20</v>
      </c>
      <c r="F27" s="11">
        <f>F4</f>
        <v>20</v>
      </c>
      <c r="H27" s="63" t="s">
        <v>20</v>
      </c>
      <c r="I27" s="27" t="s">
        <v>22</v>
      </c>
      <c r="J27" s="28">
        <f>$E$26</f>
        <v>5</v>
      </c>
      <c r="K27" s="65" t="str">
        <f>CONCATENATE(ROUND($E$30,2),IF($E$30&gt;$E$23," &gt; ", " &lt; "),$E$23)</f>
        <v>0,25 &lt; 500</v>
      </c>
      <c r="L27" s="27">
        <f>$E$21</f>
        <v>100000</v>
      </c>
      <c r="M27" s="27" t="s">
        <v>25</v>
      </c>
      <c r="O27" s="32" t="s">
        <v>42</v>
      </c>
      <c r="P27" s="33" t="str">
        <f>L26&amp;" mg/L"</f>
        <v>3 mg/L</v>
      </c>
      <c r="Q27" s="33" t="str">
        <f>L28&amp;" NPM/100mL"</f>
        <v>200 NPM/100mL</v>
      </c>
    </row>
    <row r="28" spans="1:17" x14ac:dyDescent="0.25">
      <c r="A28" s="12"/>
      <c r="B28" s="80"/>
      <c r="C28" s="6" t="s">
        <v>12</v>
      </c>
      <c r="D28" s="7">
        <f>D27*86.4</f>
        <v>13392</v>
      </c>
      <c r="E28" s="7">
        <f>E27*86.4</f>
        <v>1728</v>
      </c>
      <c r="F28" s="7">
        <f>F27*86.4</f>
        <v>1728</v>
      </c>
      <c r="H28" s="63"/>
      <c r="I28" s="27" t="s">
        <v>23</v>
      </c>
      <c r="J28" s="29">
        <f>$E$27</f>
        <v>20</v>
      </c>
      <c r="K28" s="66"/>
      <c r="L28" s="27">
        <f>$E$22</f>
        <v>200</v>
      </c>
      <c r="M28" s="27" t="s">
        <v>26</v>
      </c>
    </row>
    <row r="29" spans="1:17" x14ac:dyDescent="0.25">
      <c r="A29" s="12"/>
      <c r="B29" s="81"/>
      <c r="C29" s="14" t="s">
        <v>34</v>
      </c>
      <c r="D29" s="7">
        <f>INDEX('Inequação FEPAM'!$B$41:$B$46, MATCH(D28, 'Inequação FEPAM'!$C$41:$C$46, 1))</f>
        <v>6</v>
      </c>
      <c r="E29" s="7">
        <f>INDEX('Inequação FEPAM'!$B$41:$B$46, MATCH(E28, 'Inequação FEPAM'!$C$41:$C$46, 1))</f>
        <v>4</v>
      </c>
      <c r="F29" s="7">
        <f>INDEX('Inequação FEPAM'!$B$41:$B$46, MATCH(F28, 'Inequação FEPAM'!$C$41:$C$46, 1))</f>
        <v>4</v>
      </c>
      <c r="K29" s="16"/>
    </row>
    <row r="30" spans="1:17" x14ac:dyDescent="0.25">
      <c r="A30" s="12"/>
      <c r="B30" s="76"/>
      <c r="C30" s="61" t="s">
        <v>13</v>
      </c>
      <c r="D30" s="59">
        <f>ROUND(D26/D27,2)</f>
        <v>30.26</v>
      </c>
      <c r="E30" s="59">
        <f>ROUND(E26/E27,2)</f>
        <v>0.25</v>
      </c>
      <c r="F30" s="59">
        <f>ROUND(F26/F27,2)</f>
        <v>240</v>
      </c>
      <c r="H30">
        <f>F3</f>
        <v>0</v>
      </c>
    </row>
    <row r="31" spans="1:17" x14ac:dyDescent="0.25">
      <c r="A31" s="12"/>
      <c r="B31" s="76"/>
      <c r="C31" s="62"/>
      <c r="D31" s="60"/>
      <c r="E31" s="60"/>
      <c r="F31" s="60"/>
      <c r="H31" s="67" t="s">
        <v>0</v>
      </c>
      <c r="I31" s="67" t="s">
        <v>21</v>
      </c>
      <c r="J31" s="67"/>
      <c r="K31" s="67" t="s">
        <v>24</v>
      </c>
      <c r="L31" s="70" t="s">
        <v>27</v>
      </c>
      <c r="M31" s="70"/>
      <c r="O31" s="30" t="s">
        <v>0</v>
      </c>
      <c r="P31" s="30" t="s">
        <v>1</v>
      </c>
      <c r="Q31" s="30" t="s">
        <v>5</v>
      </c>
    </row>
    <row r="32" spans="1:17" x14ac:dyDescent="0.25">
      <c r="A32" s="12"/>
      <c r="B32" s="77" t="s">
        <v>46</v>
      </c>
      <c r="C32" s="78"/>
      <c r="D32" s="58" t="b">
        <f>D30&gt;=D19</f>
        <v>1</v>
      </c>
      <c r="E32" s="58" t="b">
        <f>E30&gt;=E19</f>
        <v>0</v>
      </c>
      <c r="F32" s="58" t="b">
        <f>F30&gt;=F19</f>
        <v>1</v>
      </c>
      <c r="H32" s="67"/>
      <c r="I32" s="67"/>
      <c r="J32" s="67"/>
      <c r="K32" s="67"/>
      <c r="L32" s="70"/>
      <c r="M32" s="70"/>
      <c r="O32" s="32" t="s">
        <v>45</v>
      </c>
      <c r="P32" s="63" t="str">
        <f>J33&amp;" L/s"</f>
        <v>4800 L/s</v>
      </c>
      <c r="Q32" s="63"/>
    </row>
    <row r="33" spans="1:17" x14ac:dyDescent="0.25">
      <c r="A33" s="12"/>
      <c r="B33" s="77" t="s">
        <v>47</v>
      </c>
      <c r="C33" s="78"/>
      <c r="D33" s="58" t="b">
        <f>D30&gt;=D23</f>
        <v>1</v>
      </c>
      <c r="E33" s="58" t="b">
        <f t="shared" ref="E33:F33" si="1">E30&gt;=E23</f>
        <v>0</v>
      </c>
      <c r="F33" s="58" t="b">
        <f t="shared" si="1"/>
        <v>0</v>
      </c>
      <c r="H33" s="68" t="s">
        <v>1</v>
      </c>
      <c r="I33" s="27" t="s">
        <v>22</v>
      </c>
      <c r="J33" s="28">
        <f>$F$26</f>
        <v>4800</v>
      </c>
      <c r="K33" s="65" t="str">
        <f>CONCATENATE(ROUND($F$30,2),IF($F$30&gt;$F$19," &gt; ", " &lt; "),$F$19)</f>
        <v>240 &gt; 23,33</v>
      </c>
      <c r="L33" s="27">
        <f>$F$17</f>
        <v>70</v>
      </c>
      <c r="M33" s="27" t="s">
        <v>25</v>
      </c>
      <c r="O33" s="32" t="s">
        <v>44</v>
      </c>
      <c r="P33" s="63" t="str">
        <f>J34&amp;" L/s"</f>
        <v>20 L/s</v>
      </c>
      <c r="Q33" s="63"/>
    </row>
    <row r="34" spans="1:17" x14ac:dyDescent="0.25">
      <c r="A34" s="12"/>
      <c r="B34" s="72" t="s">
        <v>15</v>
      </c>
      <c r="C34" s="72"/>
      <c r="D34" s="55" t="str">
        <f>IF(AND(D32=FALSE,D33=FALSE),"DBO e eColi",IF(AND(D32=TRUE,D33=FALSE),"eColi",IF(AND(D33=TRUE,D32=FALSE),"DBO","-")))</f>
        <v>-</v>
      </c>
      <c r="E34" s="55" t="str">
        <f t="shared" ref="E34:F34" si="2">IF(AND(E32=FALSE,E33=FALSE),"DBO e eColi",IF(AND(E32=TRUE,E33=FALSE),"eColi",IF(AND(E33=TRUE,E32=FALSE),"DBO","-")))</f>
        <v>DBO e eColi</v>
      </c>
      <c r="F34" s="55" t="str">
        <f t="shared" si="2"/>
        <v>eColi</v>
      </c>
      <c r="H34" s="69"/>
      <c r="I34" s="27" t="s">
        <v>23</v>
      </c>
      <c r="J34" s="29">
        <f>$F$27</f>
        <v>20</v>
      </c>
      <c r="K34" s="66"/>
      <c r="L34" s="27">
        <f>$F$18</f>
        <v>3</v>
      </c>
      <c r="M34" s="27" t="s">
        <v>26</v>
      </c>
      <c r="O34" s="32" t="s">
        <v>43</v>
      </c>
      <c r="P34" s="33" t="str">
        <f>L33&amp;" mg/L"</f>
        <v>70 mg/L</v>
      </c>
      <c r="Q34" s="33" t="str">
        <f>L35&amp;" NPM/100mL"</f>
        <v>100000 NPM/100mL</v>
      </c>
    </row>
    <row r="35" spans="1:17" x14ac:dyDescent="0.25">
      <c r="A35" s="12"/>
      <c r="H35" s="63" t="s">
        <v>20</v>
      </c>
      <c r="I35" s="27" t="s">
        <v>22</v>
      </c>
      <c r="J35" s="28">
        <f>$F$26</f>
        <v>4800</v>
      </c>
      <c r="K35" s="65" t="str">
        <f>CONCATENATE(ROUND($F$30,2),IF($F$30&gt;$F$23," &gt; ", " &lt; "),$F$23)</f>
        <v>240 &lt; 500</v>
      </c>
      <c r="L35" s="27">
        <f>$F$21</f>
        <v>100000</v>
      </c>
      <c r="M35" s="27" t="s">
        <v>25</v>
      </c>
      <c r="O35" s="32" t="s">
        <v>42</v>
      </c>
      <c r="P35" s="33" t="str">
        <f>L34&amp;" mg/L"</f>
        <v>3 mg/L</v>
      </c>
      <c r="Q35" s="33" t="str">
        <f>L36&amp;" NPM/100mL"</f>
        <v>200 NPM/100mL</v>
      </c>
    </row>
    <row r="36" spans="1:17" ht="26.25" x14ac:dyDescent="0.4">
      <c r="A36" s="64" t="s">
        <v>48</v>
      </c>
      <c r="B36" s="64"/>
      <c r="C36" s="64"/>
      <c r="D36" s="64"/>
      <c r="E36" s="64"/>
      <c r="F36" s="64"/>
      <c r="H36" s="63"/>
      <c r="I36" s="27" t="s">
        <v>23</v>
      </c>
      <c r="J36" s="29">
        <f>$F$27</f>
        <v>20</v>
      </c>
      <c r="K36" s="66"/>
      <c r="L36" s="27">
        <f>$F$22</f>
        <v>200</v>
      </c>
      <c r="M36" s="27" t="s">
        <v>26</v>
      </c>
    </row>
    <row r="38" spans="1:17" x14ac:dyDescent="0.25">
      <c r="B38" s="36" t="s">
        <v>49</v>
      </c>
      <c r="C38" s="37" t="s">
        <v>2</v>
      </c>
    </row>
    <row r="39" spans="1:17" x14ac:dyDescent="0.25">
      <c r="B39" s="71" t="s">
        <v>28</v>
      </c>
      <c r="C39" s="71"/>
      <c r="D39" s="71"/>
      <c r="E39" s="71" t="s">
        <v>32</v>
      </c>
      <c r="F39" s="71" t="s">
        <v>29</v>
      </c>
      <c r="G39" s="71"/>
    </row>
    <row r="40" spans="1:17" x14ac:dyDescent="0.25">
      <c r="B40" s="71"/>
      <c r="C40" s="71"/>
      <c r="D40" s="71"/>
      <c r="E40" s="71"/>
      <c r="F40" s="30" t="s">
        <v>30</v>
      </c>
      <c r="G40" s="30" t="s">
        <v>31</v>
      </c>
    </row>
    <row r="41" spans="1:17" x14ac:dyDescent="0.25">
      <c r="B41" s="35">
        <v>1</v>
      </c>
      <c r="C41" s="35">
        <v>0</v>
      </c>
      <c r="D41" s="35">
        <v>199</v>
      </c>
      <c r="E41" s="35">
        <v>120</v>
      </c>
      <c r="F41" s="35" t="s">
        <v>14</v>
      </c>
      <c r="G41" s="35" t="s">
        <v>14</v>
      </c>
    </row>
    <row r="42" spans="1:17" x14ac:dyDescent="0.25">
      <c r="B42" s="35">
        <v>2</v>
      </c>
      <c r="C42" s="35">
        <v>200</v>
      </c>
      <c r="D42" s="35">
        <v>499</v>
      </c>
      <c r="E42" s="35">
        <v>100</v>
      </c>
      <c r="F42" s="48">
        <f>10^6</f>
        <v>1000000</v>
      </c>
      <c r="G42" s="49">
        <v>0.9</v>
      </c>
    </row>
    <row r="43" spans="1:17" x14ac:dyDescent="0.25">
      <c r="B43" s="35">
        <v>3</v>
      </c>
      <c r="C43" s="35">
        <v>500</v>
      </c>
      <c r="D43" s="35">
        <v>999</v>
      </c>
      <c r="E43" s="35">
        <v>80</v>
      </c>
      <c r="F43" s="48">
        <f>10^5</f>
        <v>100000</v>
      </c>
      <c r="G43" s="49">
        <v>0.95</v>
      </c>
    </row>
    <row r="44" spans="1:17" x14ac:dyDescent="0.25">
      <c r="B44" s="35">
        <v>4</v>
      </c>
      <c r="C44" s="35">
        <v>1000</v>
      </c>
      <c r="D44" s="35">
        <v>1999</v>
      </c>
      <c r="E44" s="35">
        <v>70</v>
      </c>
      <c r="F44" s="48">
        <f>10^5</f>
        <v>100000</v>
      </c>
      <c r="G44" s="49">
        <v>0.95</v>
      </c>
    </row>
    <row r="45" spans="1:17" x14ac:dyDescent="0.25">
      <c r="B45" s="35">
        <v>5</v>
      </c>
      <c r="C45" s="35">
        <v>2000</v>
      </c>
      <c r="D45" s="35">
        <v>9999</v>
      </c>
      <c r="E45" s="35">
        <v>60</v>
      </c>
      <c r="F45" s="48">
        <f>10^4</f>
        <v>10000</v>
      </c>
      <c r="G45" s="50">
        <v>0.95</v>
      </c>
    </row>
    <row r="46" spans="1:17" x14ac:dyDescent="0.25">
      <c r="B46" s="35">
        <v>6</v>
      </c>
      <c r="C46" s="35">
        <v>10000</v>
      </c>
      <c r="D46" s="35"/>
      <c r="E46" s="35">
        <v>40</v>
      </c>
      <c r="F46" s="48">
        <f>10^3</f>
        <v>1000</v>
      </c>
      <c r="G46" s="49">
        <v>0.95</v>
      </c>
    </row>
    <row r="48" spans="1:17" x14ac:dyDescent="0.25">
      <c r="B48" s="36" t="s">
        <v>49</v>
      </c>
      <c r="C48" s="44" t="s">
        <v>51</v>
      </c>
    </row>
    <row r="49" spans="2:4" x14ac:dyDescent="0.25">
      <c r="B49" s="21" t="s">
        <v>33</v>
      </c>
      <c r="C49" s="21" t="s">
        <v>1</v>
      </c>
      <c r="D49" s="21" t="s">
        <v>5</v>
      </c>
    </row>
    <row r="50" spans="2:4" x14ac:dyDescent="0.25">
      <c r="B50" s="20">
        <v>1</v>
      </c>
      <c r="C50" s="22">
        <v>3</v>
      </c>
      <c r="D50" s="20">
        <v>200</v>
      </c>
    </row>
    <row r="51" spans="2:4" x14ac:dyDescent="0.25">
      <c r="B51" s="20">
        <v>2</v>
      </c>
      <c r="C51" s="22">
        <v>5</v>
      </c>
      <c r="D51" s="20">
        <v>1000</v>
      </c>
    </row>
    <row r="52" spans="2:4" x14ac:dyDescent="0.25">
      <c r="B52" s="20">
        <v>3</v>
      </c>
      <c r="C52" s="22">
        <v>10</v>
      </c>
      <c r="D52" s="20">
        <v>4000</v>
      </c>
    </row>
    <row r="53" spans="2:4" x14ac:dyDescent="0.25">
      <c r="B53" t="s">
        <v>54</v>
      </c>
    </row>
  </sheetData>
  <mergeCells count="50">
    <mergeCell ref="B1:F1"/>
    <mergeCell ref="B12:Q12"/>
    <mergeCell ref="B15:C15"/>
    <mergeCell ref="P32:Q32"/>
    <mergeCell ref="P33:Q33"/>
    <mergeCell ref="P16:Q16"/>
    <mergeCell ref="P17:Q17"/>
    <mergeCell ref="P24:Q24"/>
    <mergeCell ref="P25:Q25"/>
    <mergeCell ref="B9:B10"/>
    <mergeCell ref="H23:H24"/>
    <mergeCell ref="I23:J24"/>
    <mergeCell ref="K23:K24"/>
    <mergeCell ref="H15:H16"/>
    <mergeCell ref="I15:J16"/>
    <mergeCell ref="L31:M32"/>
    <mergeCell ref="B39:D40"/>
    <mergeCell ref="E39:E40"/>
    <mergeCell ref="F39:G39"/>
    <mergeCell ref="L15:M16"/>
    <mergeCell ref="H17:H18"/>
    <mergeCell ref="K17:K18"/>
    <mergeCell ref="B34:C34"/>
    <mergeCell ref="B24:B26"/>
    <mergeCell ref="B30:B31"/>
    <mergeCell ref="B32:C32"/>
    <mergeCell ref="B27:B29"/>
    <mergeCell ref="B33:C33"/>
    <mergeCell ref="K19:K20"/>
    <mergeCell ref="H19:H20"/>
    <mergeCell ref="B20:B23"/>
    <mergeCell ref="B16:B19"/>
    <mergeCell ref="L23:M24"/>
    <mergeCell ref="H25:H26"/>
    <mergeCell ref="K25:K26"/>
    <mergeCell ref="H27:H28"/>
    <mergeCell ref="K27:K28"/>
    <mergeCell ref="K35:K36"/>
    <mergeCell ref="H31:H32"/>
    <mergeCell ref="I31:J32"/>
    <mergeCell ref="K31:K32"/>
    <mergeCell ref="K15:K16"/>
    <mergeCell ref="H33:H34"/>
    <mergeCell ref="K33:K34"/>
    <mergeCell ref="D30:D31"/>
    <mergeCell ref="E30:E31"/>
    <mergeCell ref="F30:F31"/>
    <mergeCell ref="C30:C31"/>
    <mergeCell ref="H35:H36"/>
    <mergeCell ref="A36:F36"/>
  </mergeCells>
  <conditionalFormatting sqref="D32:F32">
    <cfRule type="expression" dxfId="9" priority="10">
      <formula>D$32=TRUE</formula>
    </cfRule>
    <cfRule type="expression" dxfId="8" priority="11">
      <formula>D$32=FALSE</formula>
    </cfRule>
  </conditionalFormatting>
  <conditionalFormatting sqref="K17:K20">
    <cfRule type="expression" dxfId="7" priority="7">
      <formula>ISNUMBER(SEARCH("&lt;",K17))</formula>
    </cfRule>
    <cfRule type="expression" dxfId="6" priority="8">
      <formula>ISNUMBER(SEARCH("&gt;",K17))</formula>
    </cfRule>
  </conditionalFormatting>
  <conditionalFormatting sqref="K25:K28">
    <cfRule type="expression" dxfId="5" priority="5">
      <formula>ISNUMBER(SEARCH("&lt;",K25))</formula>
    </cfRule>
    <cfRule type="expression" dxfId="4" priority="6">
      <formula>ISNUMBER(SEARCH("&gt;",K25))</formula>
    </cfRule>
  </conditionalFormatting>
  <conditionalFormatting sqref="K33:K36">
    <cfRule type="expression" dxfId="3" priority="3">
      <formula>ISNUMBER(SEARCH("&lt;",K33))</formula>
    </cfRule>
    <cfRule type="expression" dxfId="2" priority="4">
      <formula>ISNUMBER(SEARCH("&gt;",K33))</formula>
    </cfRule>
  </conditionalFormatting>
  <conditionalFormatting sqref="D33:F33">
    <cfRule type="expression" dxfId="1" priority="1">
      <formula>D$33=TRUE</formula>
    </cfRule>
    <cfRule type="expression" dxfId="0" priority="2">
      <formula>D$33=FALSE</formula>
    </cfRule>
  </conditionalFormatting>
  <hyperlinks>
    <hyperlink ref="C38" r:id="rId1"/>
    <hyperlink ref="B7" r:id="rId2"/>
    <hyperlink ref="B5" r:id="rId3" display="SEMA - verificar bacia"/>
    <hyperlink ref="B6" r:id="rId4"/>
    <hyperlink ref="C48" r:id="rId5"/>
    <hyperlink ref="B8" r:id="rId6"/>
  </hyperlinks>
  <pageMargins left="0.511811024" right="0.511811024" top="0.78740157499999996" bottom="0.78740157499999996" header="0.31496062000000002" footer="0.31496062000000002"/>
  <pageSetup paperSize="9" orientation="portrait" r:id="rId7"/>
  <drawing r:id="rId8"/>
  <legacy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Inequação FEPAM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LIMAS COIMBRA</dc:creator>
  <cp:lastModifiedBy>GABRIEL LIMAS COIMBRA</cp:lastModifiedBy>
  <dcterms:created xsi:type="dcterms:W3CDTF">2025-02-26T15:05:17Z</dcterms:created>
  <dcterms:modified xsi:type="dcterms:W3CDTF">2026-07-01T16:16:18Z</dcterms:modified>
</cp:coreProperties>
</file>